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6 RepDrill\Evidencias grupales\"/>
    </mc:Choice>
  </mc:AlternateContent>
  <xr:revisionPtr revIDLastSave="0" documentId="13_ncr:1_{52B23782-B585-4BFC-BDA7-80EEDAAA7405}"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G20" i="1"/>
  <c r="G17" i="1" l="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<sst xmlns="http://schemas.openxmlformats.org/spreadsheetml/2006/main" count="94" uniqueCount="68">
  <si>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</si>
  <si>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</si>
  <si>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</si>
  <si>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</si>
  <si>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</si>
  <si>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</si>
  <si>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</si>
  <si>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</si>
  <si>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</si>
  <si>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</si>
  <si>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</si>
  <si>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</si>
  <si>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</si>
  <si>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</si>
  <si>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</si>
  <si>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</si>
  <si>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</si>
  <si>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</si>
  <si>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</si>
  <si>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</si>
  <si>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</si>
  <si>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</si>
  <si>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</si>
  <si>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</si>
  <si>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</si>
  <si>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</si>
  <si>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</si>
  <si>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</si>
  <si>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</si>
  <si>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</si>
  <si>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</si>
  <si>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</si>
  <si>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</si>
  <si>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</si>
  <si>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</si>
  <si>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</si>
  <si>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</si>
  <si>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</si>
  <si>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</si>
  <si>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</si>
  <si>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</si>
  <si>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</si>
  <si>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</si>
  <si>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</si>
  <si>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</si>
  <si>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</si>
  <si>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</si>
  <si>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</si>
  <si>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</si>
  <si>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</si>
  <si>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</si>
  <si>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</si>
  <si>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</si>
  <si>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</si>
  <si>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</si>
  <si>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</si>
  <si>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</si>
  <si>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</si>
  <si>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</si>
  <si>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</si>
  <si>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</si>
  <si>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</si>
  <si>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</si>
  <si>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</si>
  <si>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</si>
  <si>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David Lever</t>
  </si>
  <si>
    <t>Jorge Freire</t>
  </si>
  <si>
    <t>Elian Farias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</si>
</sst>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D16" sqref="D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5.5</v>
      </c>
      <c r="G4" s="1"/>
    </row>
    <row r="5" spans="1:11" x14ac:dyDescent="0.25">
      <c r="A5" s="4">
        <v>2</v>
      </c>
      <c r="B5" s="25" t="s">
        <v>67</v>
      </c>
      <c r="C5" s="5">
        <f>EVALUACION2!$C$22</f>
        <v>5.5</v>
      </c>
      <c r="G5" s="1"/>
    </row>
    <row r="6" spans="1:11" x14ac:dyDescent="0.25">
      <c r="A6" s="4">
        <v>3</v>
      </c>
      <c r="B6" s="40" t="s">
        <v>66</v>
      </c>
      <c r="C6" s="41">
        <f>EVALUACION2!$C$22</f>
        <v>5.5</v>
      </c>
      <c r="G6" s="1"/>
      <c r="I6" t="s">
        <v>64</v>
      </c>
    </row>
    <row r="7" spans="1:11" ht="15" customHeight="1" x14ac:dyDescent="0.25">
      <c r="A7" s="4">
        <v>4</v>
      </c>
      <c r="B7" s="42"/>
      <c r="C7" s="43">
        <f>EVALUACION2!$C$22</f>
        <v>5.5</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
        <v>63</v>
      </c>
      <c r="E17" s="15">
        <f>IF(D17="X",100*0.05,"")</f>
        <v>5</v>
      </c>
      <c r="F17" s="15"/>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4">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4"/>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4"/>
        <v/>
      </c>
    </row>
    <row r="21" spans="1:11" ht="15.75" customHeight="1" outlineLevel="1" x14ac:dyDescent="0.3">
      <c r="A21" s="45"/>
      <c r="B21" s="27" t="s">
        <v>4</v>
      </c>
      <c r="C21" s="31">
        <f>E21+G21+I21+K21</f>
        <v>80</v>
      </c>
      <c r="D21" s="16"/>
      <c r="E21" s="16">
        <f>SUM(E13:E20)</f>
        <v>50</v>
      </c>
      <c r="F21" s="16"/>
      <c r="G21" s="16">
        <f>SUM(G13:G20)</f>
        <v>30</v>
      </c>
      <c r="H21" s="16"/>
      <c r="I21" s="16">
        <f>SUM(I13:I20)</f>
        <v>0</v>
      </c>
      <c r="J21" s="16"/>
      <c r="K21" s="16">
        <f>SUM(K13:K20)</f>
        <v>0</v>
      </c>
    </row>
    <row r="22" spans="1:11" ht="15.75" customHeight="1" outlineLevel="1" x14ac:dyDescent="0.3">
      <c r="A22" s="47"/>
      <c r="B22" s="30" t="s">
        <v>13</v>
      </c>
      <c r="C22" s="17">
        <f>VLOOKUP(C21,ESCALA_IEP!A2:B202,2,FALSE)</f>
        <v>5.5</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2025-11-23T22:28:17Z</dcterms:modified>
</cp:coreProperties>
</file>