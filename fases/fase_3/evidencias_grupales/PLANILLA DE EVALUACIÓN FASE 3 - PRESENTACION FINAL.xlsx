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5\Grupo 6 RepDrill\Evidencias grupales\"/>
    </mc:Choice>
  </mc:AlternateContent>
  <xr:revisionPtr revIDLastSave="0" documentId="13_ncr:1_{AC6B11E7-3E27-4FDA-A1FE-2909FCCFA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G82" i="1"/>
  <c r="E82" i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G79" i="1"/>
  <c r="E79" i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G69" i="1"/>
  <c r="E69" i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G66" i="1"/>
  <c r="E66" i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E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G53" i="1"/>
  <c r="E53" i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G40" i="1"/>
  <c r="E40" i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G27" i="1"/>
  <c r="E27" i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E14" i="1"/>
  <c r="D15" i="1"/>
  <c r="E15" i="1" s="1"/>
  <c r="D16" i="1"/>
  <c r="E16" i="1" s="1"/>
  <c r="E17" i="1"/>
  <c r="D18" i="1"/>
  <c r="E18" i="1" s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G14" i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<sst xmlns="http://schemas.openxmlformats.org/spreadsheetml/2006/main" count="177" uniqueCount="67">
  <si>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</si>
  <si>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</si>
  <si>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</si>
  <si>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</si>
  <si>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</si>
  <si>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</si>
  <si>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</si>
  <si>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</si>
  <si>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</si>
  <si>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</si>
  <si>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</si>
  <si>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</si>
  <si>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</si>
  <si>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</si>
  <si>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</si>
  <si>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</si>
  <si>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</si>
  <si>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</si>
  <si>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</si>
  <si>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</si>
  <si>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</si>
  <si>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</si>
  <si>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</si>
  <si>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</si>
  <si>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</si>
  <si>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</si>
  <si>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</si>
  <si>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</si>
  <si>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</si>
  <si>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</si>
  <si>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</si>
  <si>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</si>
  <si>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</si>
  <si>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</si>
  <si>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</si>
  <si>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</si>
  <si>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</si>
  <si>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</si>
  <si>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</si>
  <si>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</si>
  <si>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</si>
  <si>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</si>
  <si>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</si>
  <si>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</si>
  <si>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</si>
  <si>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</si>
  <si>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</si>
  <si>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</si>
  <si>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</si>
  <si>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</si>
  <si>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</si>
  <si>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</si>
  <si>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</si>
  <si>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</si>
  <si>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</si>
  <si>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</si>
  <si>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</si>
  <si>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</si>
  <si>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</si>
  <si>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</si>
  <si>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</si>
  <si>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</si>
  <si>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</si>
  <si>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Elian Farias</t>
  </si>
  <si>
    <t>David Lever</t>
  </si>
  <si>
    <t>Jorge Freire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</si>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</sst>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82" zoomScale="120" zoomScaleNormal="120" workbookViewId="0">
      <selection activeCell="F84" sqref="F84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6.1</v>
      </c>
      <c r="D4" s="37">
        <f>C60</f>
        <v>6.1</v>
      </c>
      <c r="E4" s="36">
        <f>C4*C$2+D4*D$2</f>
        <v>6.1</v>
      </c>
    </row>
    <row r="5" spans="1:11" ht="14.4" x14ac:dyDescent="0.3">
      <c r="A5" s="3">
        <v>2</v>
      </c>
      <c r="B5" s="16" t="s">
        <v>64</v>
      </c>
      <c r="C5" s="31">
        <f>C34</f>
        <v>6.1</v>
      </c>
      <c r="D5" s="37">
        <f>C73</f>
        <v>6.1</v>
      </c>
      <c r="E5" s="36">
        <f t="shared" ref="E5:E6" si="0">C5*C$2+D5*D$2</f>
        <v>6.1</v>
      </c>
    </row>
    <row r="6" spans="1:11" ht="14.4" x14ac:dyDescent="0.3">
      <c r="A6" s="3">
        <v>3</v>
      </c>
      <c r="B6" s="16" t="s">
        <v>65</v>
      </c>
      <c r="C6" s="31">
        <f>C47</f>
        <v>6.1</v>
      </c>
      <c r="D6" s="37">
        <f>C86</f>
        <v>6.1</v>
      </c>
      <c r="E6" s="36">
        <f t="shared" si="0"/>
        <v>6.1</v>
      </c>
    </row>
    <row r="7" spans="1:11" ht="15" customHeight="1" x14ac:dyDescent="0.3">
      <c r="B7" s="39"/>
    </row>
    <row r="11" spans="1:11" ht="18" outlineLevel="1" x14ac:dyDescent="0.3">
      <c r="A11" s="49" t="s">
        <v>4</v>
      </c>
      <c r="B11" s="11" t="str">
        <f>B4</f>
        <v>Elian Farias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6" si="1">IF($C13=CL,"X","")</f>
        <v>X</v>
      </c>
      <c r="E13" s="12">
        <f>IF(D13="X",100*0.15,"")</f>
        <v>15</v>
      </c>
      <c r="F13" s="12" t="str">
        <f t="shared" ref="F13:F16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66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66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66</v>
      </c>
      <c r="E19" s="12">
        <f>IF(D19="X",100*0.1,"")</f>
        <v>10</v>
      </c>
      <c r="F19" s="12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1"/>
      <c r="B20" s="18" t="s">
        <v>12</v>
      </c>
      <c r="C20" s="22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6.1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9" t="s">
        <v>4</v>
      </c>
      <c r="B24" s="11" t="str">
        <f>B5</f>
        <v>David Lever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66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66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1"/>
      <c r="B33" s="18" t="s">
        <v>12</v>
      </c>
      <c r="C33" s="22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6.1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9" t="s">
        <v>4</v>
      </c>
      <c r="B37" s="11" t="str">
        <f>B6</f>
        <v>Jorge Freire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66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66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1"/>
      <c r="B46" s="18" t="s">
        <v>12</v>
      </c>
      <c r="C46" s="22">
        <f>E46+G46+I46+K46</f>
        <v>88</v>
      </c>
      <c r="D46" s="13"/>
      <c r="E46" s="13">
        <f>SUM(E39:E45)</f>
        <v>70</v>
      </c>
      <c r="F46" s="13"/>
      <c r="G46" s="13">
        <f>SUM(G39:G45)</f>
        <v>18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6.1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0" t="s">
        <v>14</v>
      </c>
      <c r="B50" s="11" t="str">
        <f>B4</f>
        <v>Elian Farias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66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66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1"/>
      <c r="B59" s="18" t="s">
        <v>12</v>
      </c>
      <c r="C59" s="22">
        <f>E59+G59+I59+K59</f>
        <v>88</v>
      </c>
      <c r="D59" s="13"/>
      <c r="E59" s="13">
        <f>SUM(E52:E58)</f>
        <v>70</v>
      </c>
      <c r="F59" s="13"/>
      <c r="G59" s="13">
        <f>SUM(G52:G58)</f>
        <v>18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3"/>
      <c r="B60" s="21" t="s">
        <v>13</v>
      </c>
      <c r="C60" s="14">
        <f>VLOOKUP(C59,ESCALA_IEP!A41:B241,2,FALSE)</f>
        <v>6.1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0" t="s">
        <v>15</v>
      </c>
      <c r="B63" s="11" t="str">
        <f>B5</f>
        <v>David Lever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3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66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66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1"/>
      <c r="B72" s="18" t="s">
        <v>12</v>
      </c>
      <c r="C72" s="22">
        <f>E72+G72+I72+K72</f>
        <v>88</v>
      </c>
      <c r="D72" s="13"/>
      <c r="E72" s="13">
        <f>SUM(E65:E71)</f>
        <v>70</v>
      </c>
      <c r="F72" s="13"/>
      <c r="G72" s="13">
        <f>SUM(G65:G71)</f>
        <v>18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3"/>
      <c r="B73" s="21" t="s">
        <v>13</v>
      </c>
      <c r="C73" s="14">
        <f>VLOOKUP(C72,ESCALA_IEP!A54:B254,2,FALSE)</f>
        <v>6.1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0" t="s">
        <v>16</v>
      </c>
      <c r="B76" s="11" t="str">
        <f>B6</f>
        <v>Jorge Freire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3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66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66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1"/>
      <c r="B85" s="18" t="s">
        <v>12</v>
      </c>
      <c r="C85" s="22">
        <f>E85+G85+I85+K85</f>
        <v>88</v>
      </c>
      <c r="D85" s="13"/>
      <c r="E85" s="13">
        <f>SUM(E78:E84)</f>
        <v>70</v>
      </c>
      <c r="F85" s="13"/>
      <c r="G85" s="13">
        <f>SUM(G78:G84)</f>
        <v>18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VLOOKUP(C85,ESCALA_IEP!A67:B267,2,FALSE)</f>
        <v>6.1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3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3">
      <c r="A3" s="51"/>
      <c r="B3" s="56"/>
      <c r="C3" s="56"/>
      <c r="D3" s="27">
        <v>0.3</v>
      </c>
      <c r="E3" s="27">
        <v>0</v>
      </c>
      <c r="F3" s="51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60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2025-12-02T17:09:20Z</dcterms:modified>
  <cp:category/>
  <cp:contentStatus/>
</cp:coreProperties>
</file>