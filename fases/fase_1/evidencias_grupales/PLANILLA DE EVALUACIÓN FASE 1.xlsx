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eccion-005\Grupo 6 RepDrill\Evidencia Grupal\"/>
    </mc:Choice>
  </mc:AlternateContent>
  <xr:revisionPtr revIDLastSave="0" documentId="13_ncr:1_{666D0715-B3AD-4645-964B-5ADAF1EEE0D0}" xr6:coauthVersionLast="47" xr6:coauthVersionMax="47" xr10:uidLastSave="{00000000-0000-0000-0000-000000000000}"/>
  <bookViews>
    <workbookView xWindow="1560" yWindow="1560" windowWidth="21600" windowHeight="1123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G54" i="1"/>
  <c r="E54" i="1"/>
  <c r="J45" i="1"/>
  <c r="K45" i="1" s="1"/>
  <c r="H45" i="1"/>
  <c r="I45" i="1" s="1"/>
  <c r="F45" i="1"/>
  <c r="G45" i="1" s="1"/>
  <c r="D45" i="1"/>
  <c r="E45" i="1" s="1"/>
  <c r="J44" i="1"/>
  <c r="K44" i="1" s="1"/>
  <c r="H44" i="1"/>
  <c r="I44" i="1" s="1"/>
  <c r="F44" i="1"/>
  <c r="G44" i="1" s="1"/>
  <c r="D44" i="1"/>
  <c r="E44" i="1" s="1"/>
  <c r="J43" i="1"/>
  <c r="K43" i="1" s="1"/>
  <c r="H43" i="1"/>
  <c r="I43" i="1" s="1"/>
  <c r="G43" i="1"/>
  <c r="E43" i="1"/>
  <c r="D19" i="1"/>
  <c r="E19" i="1" s="1"/>
  <c r="F19" i="1"/>
  <c r="G19" i="1" s="1"/>
  <c r="H19" i="1"/>
  <c r="I19" i="1" s="1"/>
  <c r="J19" i="1"/>
  <c r="K19" i="1" s="1"/>
  <c r="D17" i="1"/>
  <c r="E17" i="1" s="1"/>
  <c r="F17" i="1"/>
  <c r="G17" i="1" s="1"/>
  <c r="H17" i="1"/>
  <c r="I17" i="1" s="1"/>
  <c r="J17" i="1"/>
  <c r="K17" i="1" s="1"/>
  <c r="G31" i="1"/>
  <c r="H31" i="1"/>
  <c r="I31" i="1" s="1"/>
  <c r="J31" i="1"/>
  <c r="K31" i="1" s="1"/>
  <c r="F14" i="1"/>
  <c r="G14" i="1" s="1"/>
  <c r="I14" i="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D16" i="1"/>
  <c r="E16" i="1" s="1"/>
  <c r="E18" i="1"/>
  <c r="D22" i="1"/>
  <c r="E22" i="1" s="1"/>
  <c r="F20" i="1"/>
  <c r="G20" i="1" s="1"/>
  <c r="G21" i="1"/>
  <c r="C57" i="1" l="1"/>
  <c r="C46" i="1"/>
  <c r="E21" i="1"/>
  <c r="H21" i="1"/>
  <c r="I21" i="1" s="1"/>
  <c r="J21" i="1"/>
  <c r="K21" i="1" s="1"/>
  <c r="F22" i="1"/>
  <c r="G22" i="1" s="1"/>
  <c r="H22" i="1"/>
  <c r="I22" i="1" s="1"/>
  <c r="J22" i="1"/>
  <c r="K22" i="1" s="1"/>
  <c r="C27" i="1"/>
  <c r="J20" i="1"/>
  <c r="K20" i="1" s="1"/>
  <c r="H20" i="1"/>
  <c r="I20" i="1" s="1"/>
  <c r="D20" i="1"/>
  <c r="E20" i="1" s="1"/>
  <c r="J18" i="1"/>
  <c r="K18" i="1" s="1"/>
  <c r="H18" i="1"/>
  <c r="I18" i="1" s="1"/>
  <c r="G18" i="1"/>
  <c r="J16" i="1"/>
  <c r="K16" i="1" s="1"/>
  <c r="H16" i="1"/>
  <c r="I16" i="1" s="1"/>
  <c r="F16" i="1"/>
  <c r="G16" i="1" s="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<sst xmlns="http://schemas.openxmlformats.org/spreadsheetml/2006/main" count="164" uniqueCount="99">
  <si>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</si>
  <si>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</si>
  <si>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</si>
  <si>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</si>
  <si>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</si>
  <si>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</si>
  <si>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</si>
  <si>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</si>
  <si>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</si>
  <si>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</si>
  <si>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</si>
  <si>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</si>
  <si>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</si>
  <si>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</si>
  <si>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</si>
  <si>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</si>
  <si>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</si>
  <si>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</si>
  <si>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</si>
  <si>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</si>
  <si>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</si>
  <si>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</si>
  <si>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</si>
  <si>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</si>
  <si>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</si>
  <si>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</si>
  <si>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</si>
  <si>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</si>
  <si>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</si>
  <si>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</si>
  <si>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</si>
  <si>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</si>
  <si>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</si>
  <si>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</si>
  <si>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</si>
  <si>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</si>
  <si>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</si>
  <si>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</si>
  <si>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</si>
  <si>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</si>
  <si>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</si>
  <si>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</si>
  <si>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</si>
  <si>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</si>
  <si>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</si>
  <si>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</si>
  <si>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</si>
  <si>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</si>
  <si>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</si>
  <si>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</si>
  <si>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</si>
  <si>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</si>
  <si>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</si>
  <si>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</si>
  <si>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</si>
  <si>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</si>
  <si>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</si>
  <si>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</si>
  <si>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</si>
  <si>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</si>
  <si>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</si>
  <si>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</si>
  <si>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</si>
  <si>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</si>
  <si>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</si>
  <si>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</si>
  <si>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</si>
  <si>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</si>
  <si>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</si>
  <si>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</si>
  <si>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</si>
  <si>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</si>
  <si>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</si>
  <si>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</si>
  <si>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</si>
  <si>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</si>
  <si>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</si>
  <si>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</si>
  <si>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</si>
  <si>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</si>
  <si>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</si>
  <si>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</si>
  <si>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</si>
  <si>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</si>
  <si>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</si>
  <si>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</si>
  <si>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</si>
  <si>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</si>
  <si>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</si>
  <si>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</si>
  <si>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</si>
  <si>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</si>
  <si>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</si>
  <si>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</si>
  <si>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</si>
  <si>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</si>
  <si>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Elias Farias</t>
  </si>
  <si>
    <t>Jorge Freire</t>
  </si>
  <si>
    <t>David Lever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</si>
</sst>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2" zoomScaleNormal="120" workbookViewId="0">
      <selection activeCell="J21" sqref="J21"/>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4">
        <v>1</v>
      </c>
    </row>
    <row r="3" spans="1:11" x14ac:dyDescent="0.25">
      <c r="B3" s="3" t="s">
        <v>0</v>
      </c>
      <c r="C3" s="4" t="s">
        <v>1</v>
      </c>
      <c r="D3" s="2" t="s">
        <v>2</v>
      </c>
      <c r="E3" s="51"/>
    </row>
    <row r="4" spans="1:11" x14ac:dyDescent="0.25">
      <c r="A4" s="5">
        <v>1</v>
      </c>
      <c r="B4" s="32" t="s">
        <v>96</v>
      </c>
      <c r="C4" s="6">
        <f>EVALUACION1!$C$24</f>
        <v>5.8</v>
      </c>
      <c r="D4" s="6">
        <f>$C$35</f>
        <v>6</v>
      </c>
      <c r="E4" s="43">
        <f>C4*C$2+D4*D$2</f>
        <v>5.85</v>
      </c>
      <c r="G4" s="1"/>
    </row>
    <row r="5" spans="1:11" x14ac:dyDescent="0.25">
      <c r="A5" s="5">
        <v>2</v>
      </c>
      <c r="B5" s="32" t="s">
        <v>97</v>
      </c>
      <c r="C5" s="6">
        <f>EVALUACION1!$C$24</f>
        <v>5.8</v>
      </c>
      <c r="D5" s="6">
        <f>C47</f>
        <v>6</v>
      </c>
      <c r="E5" s="43">
        <f t="shared" ref="E5:E6" si="0">C5*C$2+D5*D$2</f>
        <v>5.85</v>
      </c>
      <c r="G5" s="1"/>
    </row>
    <row r="6" spans="1:11" x14ac:dyDescent="0.25">
      <c r="A6" s="5">
        <v>3</v>
      </c>
      <c r="B6" s="32" t="s">
        <v>98</v>
      </c>
      <c r="C6" s="6">
        <f>EVALUACION1!$C$24</f>
        <v>5.8</v>
      </c>
      <c r="D6" s="6">
        <f>C58</f>
        <v>6</v>
      </c>
      <c r="E6" s="43">
        <f t="shared" si="0"/>
        <v>5.85</v>
      </c>
      <c r="G6" s="1"/>
    </row>
    <row r="8" spans="1:11" ht="15" customHeight="1" x14ac:dyDescent="0.25">
      <c r="B8" s="49"/>
    </row>
    <row r="11" spans="1:11" ht="18.75" outlineLevel="1" x14ac:dyDescent="0.25">
      <c r="A11" s="65" t="s">
        <v>3</v>
      </c>
      <c r="B11" s="14"/>
      <c r="C11" s="58" t="s">
        <v>4</v>
      </c>
      <c r="D11" s="59" t="s">
        <v>5</v>
      </c>
      <c r="E11" s="60"/>
      <c r="F11" s="60"/>
      <c r="G11" s="60"/>
      <c r="H11" s="60"/>
      <c r="I11" s="60"/>
      <c r="J11" s="60"/>
      <c r="K11" s="61"/>
    </row>
    <row r="12" spans="1:11" outlineLevel="1" x14ac:dyDescent="0.25">
      <c r="A12" s="63"/>
      <c r="B12" s="24" t="s">
        <v>6</v>
      </c>
      <c r="C12" s="51"/>
      <c r="D12" s="59" t="s">
        <v>7</v>
      </c>
      <c r="E12" s="61"/>
      <c r="F12" s="59" t="s">
        <v>8</v>
      </c>
      <c r="G12" s="61"/>
      <c r="H12" s="59" t="s">
        <v>9</v>
      </c>
      <c r="I12" s="61"/>
      <c r="J12" s="59" t="s">
        <v>10</v>
      </c>
      <c r="K12" s="61"/>
    </row>
    <row r="13" spans="1:11" ht="24" outlineLevel="1" x14ac:dyDescent="0.25">
      <c r="A13" s="66"/>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6"/>
      <c r="B14" s="35" t="str">
        <f>RUBRICA!A6</f>
        <v>2. Relaciona el Proyecto APT con las competencias del perfil de egreso de su Plan de Estudio.</v>
      </c>
      <c r="C14" s="33" t="s">
        <v>7</v>
      </c>
      <c r="D14" s="16"/>
      <c r="E14" s="16" t="str">
        <f t="shared" ref="E14" si="6">IF(D14="X",100*0.05,"")</f>
        <v/>
      </c>
      <c r="F14" s="16" t="str">
        <f t="shared" si="2"/>
        <v/>
      </c>
      <c r="G14" s="16" t="str">
        <f t="shared" ref="G14" si="7">IF(F14="X",60*0.05,"")</f>
        <v/>
      </c>
      <c r="H14" s="16" t="s">
        <v>95</v>
      </c>
      <c r="I14" s="16">
        <f t="shared" ref="I14" si="8">IF(H14="X",30*0.05,"")</f>
        <v>1.5</v>
      </c>
      <c r="J14" s="16" t="str">
        <f t="shared" si="4"/>
        <v/>
      </c>
      <c r="K14" s="16" t="str">
        <f t="shared" si="5"/>
        <v/>
      </c>
    </row>
    <row r="15" spans="1:11" ht="24" outlineLevel="1" x14ac:dyDescent="0.25">
      <c r="A15" s="66"/>
      <c r="B15" s="35" t="str">
        <f>RUBRICA!A8</f>
        <v xml:space="preserve">4.  Argumenta por qué el proyecto es factible de realizarse en el marco de la asignatura. </v>
      </c>
      <c r="C15" s="33" t="s">
        <v>7</v>
      </c>
      <c r="D15" s="16"/>
      <c r="E15" s="16" t="str">
        <f t="shared" ref="E15:E21" si="9">IF(D15="X",100*0.05,"")</f>
        <v/>
      </c>
      <c r="F15" s="16" t="s">
        <v>95</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6"/>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6"/>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6"/>
      <c r="B18" s="35" t="str">
        <f>RUBRICA!A11</f>
        <v xml:space="preserve">7. Establece un plan de trabajo para su proyecto APT considerando los recursos, duración, facilitadores y obstaculizadores en el desarrollo de las actividades. </v>
      </c>
      <c r="C18" s="33" t="s">
        <v>7</v>
      </c>
      <c r="D18" s="16"/>
      <c r="E18" s="16" t="str">
        <f t="shared" ref="E18" si="20">IF(D18="X",100*0.1,"")</f>
        <v/>
      </c>
      <c r="F18" s="16" t="s">
        <v>95</v>
      </c>
      <c r="G18" s="16">
        <f t="shared" ref="G18" si="21">IF(F18="X",60*0.1,"")</f>
        <v>6</v>
      </c>
      <c r="H18" s="16" t="str">
        <f t="shared" si="16"/>
        <v/>
      </c>
      <c r="I18" s="16" t="str">
        <f t="shared" ref="I18" si="22">IF(H18="X",30*0.1,"")</f>
        <v/>
      </c>
      <c r="J18" s="16" t="str">
        <f t="shared" si="18"/>
        <v/>
      </c>
      <c r="K18" s="16" t="str">
        <f t="shared" si="19"/>
        <v/>
      </c>
    </row>
    <row r="19" spans="1:11" ht="24" outlineLevel="1" x14ac:dyDescent="0.25">
      <c r="A19" s="66"/>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6"/>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6"/>
      <c r="B21" s="35" t="str">
        <f>RUBRICA!A14</f>
        <v>10. Cumple completando el contenido del informe de presentación del proyecto de acuerdo con la plantilla entregada.</v>
      </c>
      <c r="C21" s="33" t="s">
        <v>7</v>
      </c>
      <c r="D21" s="16"/>
      <c r="E21" s="16" t="str">
        <f t="shared" si="9"/>
        <v/>
      </c>
      <c r="F21" s="16" t="s">
        <v>95</v>
      </c>
      <c r="G21" s="16">
        <f t="shared" si="10"/>
        <v>3</v>
      </c>
      <c r="H21" s="16" t="str">
        <f t="shared" si="16"/>
        <v/>
      </c>
      <c r="I21" s="16" t="str">
        <f t="shared" si="11"/>
        <v/>
      </c>
      <c r="J21" s="16" t="str">
        <f t="shared" si="18"/>
        <v/>
      </c>
      <c r="K21" s="16" t="str">
        <f t="shared" si="19"/>
        <v/>
      </c>
    </row>
    <row r="22" spans="1:11" ht="36" outlineLevel="1" x14ac:dyDescent="0.25">
      <c r="A22" s="66"/>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3"/>
      <c r="B23" s="34" t="s">
        <v>11</v>
      </c>
      <c r="C23" s="37">
        <f>E23+G23+I23+K23</f>
        <v>58.5</v>
      </c>
      <c r="D23" s="19"/>
      <c r="E23" s="19">
        <f>SUM(E13:E22)</f>
        <v>45</v>
      </c>
      <c r="F23" s="19"/>
      <c r="G23" s="19">
        <f>SUM(G13:G22)</f>
        <v>12</v>
      </c>
      <c r="H23" s="19"/>
      <c r="I23" s="19">
        <f>SUM(I13:I22)</f>
        <v>1.5</v>
      </c>
      <c r="J23" s="19"/>
      <c r="K23" s="19">
        <f>SUM(K13:K22)</f>
        <v>0</v>
      </c>
    </row>
    <row r="24" spans="1:11" ht="15.75" customHeight="1" outlineLevel="1" x14ac:dyDescent="0.3">
      <c r="A24" s="51"/>
      <c r="B24" s="36" t="s">
        <v>12</v>
      </c>
      <c r="C24" s="20">
        <f>VLOOKUP(C23,ESCALA_IEP!A2:B142,2,FALSE)</f>
        <v>5.8</v>
      </c>
    </row>
    <row r="25" spans="1:11" ht="15.75" customHeight="1" x14ac:dyDescent="0.25"/>
    <row r="26" spans="1:11" ht="15.75" customHeight="1" x14ac:dyDescent="0.25"/>
    <row r="27" spans="1:11" ht="15.75" customHeight="1" x14ac:dyDescent="0.25">
      <c r="A27" s="62" t="s">
        <v>13</v>
      </c>
      <c r="B27" s="50" t="s">
        <v>14</v>
      </c>
      <c r="C27" s="52" t="str">
        <f>$B$4</f>
        <v>Elias Farias</v>
      </c>
      <c r="D27" s="53"/>
      <c r="E27" s="53"/>
      <c r="F27" s="53"/>
      <c r="G27" s="53"/>
      <c r="H27" s="53"/>
      <c r="I27" s="53"/>
      <c r="J27" s="53"/>
      <c r="K27" s="54"/>
    </row>
    <row r="28" spans="1:11" ht="15.75" customHeight="1" x14ac:dyDescent="0.25">
      <c r="A28" s="63"/>
      <c r="B28" s="51"/>
      <c r="C28" s="55"/>
      <c r="D28" s="56"/>
      <c r="E28" s="56"/>
      <c r="F28" s="56"/>
      <c r="G28" s="56"/>
      <c r="H28" s="56"/>
      <c r="I28" s="56"/>
      <c r="J28" s="56"/>
      <c r="K28" s="57"/>
    </row>
    <row r="29" spans="1:11" ht="15.75" customHeight="1" x14ac:dyDescent="0.25">
      <c r="A29" s="63"/>
      <c r="B29" s="14" t="s">
        <v>15</v>
      </c>
      <c r="C29" s="58" t="s">
        <v>4</v>
      </c>
      <c r="D29" s="59" t="s">
        <v>5</v>
      </c>
      <c r="E29" s="60"/>
      <c r="F29" s="60"/>
      <c r="G29" s="60"/>
      <c r="H29" s="60"/>
      <c r="I29" s="60"/>
      <c r="J29" s="60"/>
      <c r="K29" s="61"/>
    </row>
    <row r="30" spans="1:11" ht="15.75" customHeight="1" x14ac:dyDescent="0.25">
      <c r="A30" s="63"/>
      <c r="B30" s="15" t="s">
        <v>6</v>
      </c>
      <c r="C30" s="51"/>
      <c r="D30" s="59" t="s">
        <v>7</v>
      </c>
      <c r="E30" s="61"/>
      <c r="F30" s="59" t="s">
        <v>8</v>
      </c>
      <c r="G30" s="61"/>
      <c r="H30" s="59" t="s">
        <v>16</v>
      </c>
      <c r="I30" s="61"/>
      <c r="J30" s="59" t="s">
        <v>10</v>
      </c>
      <c r="K30" s="61"/>
    </row>
    <row r="31" spans="1:11" ht="24.6" customHeight="1" x14ac:dyDescent="0.25">
      <c r="A31" s="63"/>
      <c r="B31" s="35" t="str">
        <f>RUBRICA!A7</f>
        <v>3. Relaciona el Proyecto APT con sus intereses profesionales. *</v>
      </c>
      <c r="C31" s="33" t="s">
        <v>7</v>
      </c>
      <c r="D31" s="16"/>
      <c r="E31" s="16" t="str">
        <f>IF(D31="X",100*0.1,"")</f>
        <v/>
      </c>
      <c r="F31" s="16" t="s">
        <v>95</v>
      </c>
      <c r="G31" s="16">
        <f>IF(F31="X",60*0.1,"")</f>
        <v>6</v>
      </c>
      <c r="H31" s="16" t="str">
        <f t="shared" ref="H31:H32" si="25">IF($C31=ML,"X","")</f>
        <v/>
      </c>
      <c r="I31" s="16" t="str">
        <f>IF(H31="X",30*0.1,"")</f>
        <v/>
      </c>
      <c r="J31" s="16" t="str">
        <f t="shared" ref="J31:J32" si="26">IF($C31=NL,"X","")</f>
        <v/>
      </c>
      <c r="K31" s="16" t="str">
        <f t="shared" ref="K31:K32" si="27">IF($J31="X",0,"")</f>
        <v/>
      </c>
    </row>
    <row r="32" spans="1:11" ht="25.9" customHeight="1" x14ac:dyDescent="0.25">
      <c r="A32" s="63"/>
      <c r="B32" s="35" t="str">
        <f>RUBRICA!A15</f>
        <v>11. Expone el tema utilizando un lenguaje técnico disciplinar al presentar la propuesta y responde evidenciando un manejo de la información. *</v>
      </c>
      <c r="C32" s="33" t="s">
        <v>7</v>
      </c>
      <c r="D32" s="16" t="str">
        <f t="shared" ref="D32" si="28">IF($C32=CL,"X","")</f>
        <v>X</v>
      </c>
      <c r="E32" s="16">
        <f>IF(D32="X",100*0.1,"")</f>
        <v>10</v>
      </c>
      <c r="F32" s="16" t="str">
        <f t="shared" ref="F32" si="29">IF($C32=L,"X","")</f>
        <v/>
      </c>
      <c r="G32" s="16" t="str">
        <f>IF(F32="X",60*0.1,"")</f>
        <v/>
      </c>
      <c r="H32" s="16" t="str">
        <f t="shared" si="25"/>
        <v/>
      </c>
      <c r="I32" s="16" t="str">
        <f>IF(H32="X",30*0.1,"")</f>
        <v/>
      </c>
      <c r="J32" s="16" t="str">
        <f t="shared" si="26"/>
        <v/>
      </c>
      <c r="K32" s="16" t="str">
        <f t="shared" si="27"/>
        <v/>
      </c>
    </row>
    <row r="33" spans="1:11" x14ac:dyDescent="0.25">
      <c r="A33" s="63"/>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3"/>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1"/>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2" t="s">
        <v>13</v>
      </c>
      <c r="B39" s="50" t="s">
        <v>14</v>
      </c>
      <c r="C39" s="52" t="str">
        <f>B5</f>
        <v>Jorge Freire</v>
      </c>
      <c r="D39" s="53"/>
      <c r="E39" s="53"/>
      <c r="F39" s="53"/>
      <c r="G39" s="53"/>
      <c r="H39" s="53"/>
      <c r="I39" s="53"/>
      <c r="J39" s="53"/>
      <c r="K39" s="54"/>
    </row>
    <row r="40" spans="1:11" ht="15.75" customHeight="1" x14ac:dyDescent="0.25">
      <c r="A40" s="63"/>
      <c r="B40" s="51"/>
      <c r="C40" s="55"/>
      <c r="D40" s="56"/>
      <c r="E40" s="56"/>
      <c r="F40" s="56"/>
      <c r="G40" s="56"/>
      <c r="H40" s="56"/>
      <c r="I40" s="56"/>
      <c r="J40" s="56"/>
      <c r="K40" s="57"/>
    </row>
    <row r="41" spans="1:11" ht="15.75" customHeight="1" x14ac:dyDescent="0.25">
      <c r="A41" s="63"/>
      <c r="B41" s="14" t="s">
        <v>15</v>
      </c>
      <c r="C41" s="58" t="s">
        <v>4</v>
      </c>
      <c r="D41" s="59" t="s">
        <v>5</v>
      </c>
      <c r="E41" s="60"/>
      <c r="F41" s="60"/>
      <c r="G41" s="60"/>
      <c r="H41" s="60"/>
      <c r="I41" s="60"/>
      <c r="J41" s="60"/>
      <c r="K41" s="61"/>
    </row>
    <row r="42" spans="1:11" ht="15.75" customHeight="1" x14ac:dyDescent="0.25">
      <c r="A42" s="63"/>
      <c r="B42" s="15" t="s">
        <v>6</v>
      </c>
      <c r="C42" s="51"/>
      <c r="D42" s="59" t="s">
        <v>7</v>
      </c>
      <c r="E42" s="61"/>
      <c r="F42" s="59" t="s">
        <v>8</v>
      </c>
      <c r="G42" s="61"/>
      <c r="H42" s="59" t="s">
        <v>16</v>
      </c>
      <c r="I42" s="61"/>
      <c r="J42" s="59" t="s">
        <v>10</v>
      </c>
      <c r="K42" s="61"/>
    </row>
    <row r="43" spans="1:11" ht="25.9" customHeight="1" x14ac:dyDescent="0.25">
      <c r="A43" s="63"/>
      <c r="B43" s="35" t="str">
        <f>RUBRICA!A7</f>
        <v>3. Relaciona el Proyecto APT con sus intereses profesionales. *</v>
      </c>
      <c r="C43" s="33" t="s">
        <v>7</v>
      </c>
      <c r="D43" s="16"/>
      <c r="E43" s="16" t="str">
        <f>IF(D43="X",100*0.1,"")</f>
        <v/>
      </c>
      <c r="F43" s="16" t="s">
        <v>95</v>
      </c>
      <c r="G43" s="16">
        <f>IF(F43="X",60*0.1,"")</f>
        <v>6</v>
      </c>
      <c r="H43" s="16" t="str">
        <f t="shared" ref="H43:H44" si="31">IF($C43=ML,"X","")</f>
        <v/>
      </c>
      <c r="I43" s="16" t="str">
        <f>IF(H43="X",30*0.1,"")</f>
        <v/>
      </c>
      <c r="J43" s="16" t="str">
        <f t="shared" ref="J43:J44" si="32">IF($C43=NL,"X","")</f>
        <v/>
      </c>
      <c r="K43" s="16" t="str">
        <f t="shared" ref="K43:K44" si="33">IF($J43="X",0,"")</f>
        <v/>
      </c>
    </row>
    <row r="44" spans="1:11" ht="24" x14ac:dyDescent="0.25">
      <c r="A44" s="63"/>
      <c r="B44" s="35" t="str">
        <f>RUBRICA!A15</f>
        <v>11. Expone el tema utilizando un lenguaje técnico disciplinar al presentar la propuesta y responde evidenciando un manejo de la información. *</v>
      </c>
      <c r="C44" s="33" t="s">
        <v>7</v>
      </c>
      <c r="D44" s="16" t="str">
        <f t="shared" ref="D44" si="34">IF($C44=CL,"X","")</f>
        <v>X</v>
      </c>
      <c r="E44" s="16">
        <f>IF(D44="X",100*0.1,"")</f>
        <v>10</v>
      </c>
      <c r="F44" s="16" t="str">
        <f t="shared" ref="F44" si="35">IF($C44=L,"X","")</f>
        <v/>
      </c>
      <c r="G44" s="16" t="str">
        <f>IF(F44="X",60*0.1,"")</f>
        <v/>
      </c>
      <c r="H44" s="16" t="str">
        <f t="shared" si="31"/>
        <v/>
      </c>
      <c r="I44" s="16" t="str">
        <f>IF(H44="X",30*0.1,"")</f>
        <v/>
      </c>
      <c r="J44" s="16" t="str">
        <f t="shared" si="32"/>
        <v/>
      </c>
      <c r="K44" s="16" t="str">
        <f t="shared" si="33"/>
        <v/>
      </c>
    </row>
    <row r="45" spans="1:11" ht="15.75" customHeight="1" x14ac:dyDescent="0.25">
      <c r="A45" s="63"/>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3"/>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1"/>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2" t="s">
        <v>13</v>
      </c>
      <c r="B50" s="50" t="s">
        <v>14</v>
      </c>
      <c r="C50" s="52" t="str">
        <f>B6</f>
        <v>David Lever</v>
      </c>
      <c r="D50" s="53"/>
      <c r="E50" s="53"/>
      <c r="F50" s="53"/>
      <c r="G50" s="53"/>
      <c r="H50" s="53"/>
      <c r="I50" s="53"/>
      <c r="J50" s="53"/>
      <c r="K50" s="54"/>
    </row>
    <row r="51" spans="1:11" ht="15.75" customHeight="1" x14ac:dyDescent="0.25">
      <c r="A51" s="63"/>
      <c r="B51" s="51"/>
      <c r="C51" s="55"/>
      <c r="D51" s="56"/>
      <c r="E51" s="56"/>
      <c r="F51" s="56"/>
      <c r="G51" s="56"/>
      <c r="H51" s="56"/>
      <c r="I51" s="56"/>
      <c r="J51" s="56"/>
      <c r="K51" s="57"/>
    </row>
    <row r="52" spans="1:11" ht="15.75" customHeight="1" x14ac:dyDescent="0.25">
      <c r="A52" s="63"/>
      <c r="B52" s="14" t="s">
        <v>15</v>
      </c>
      <c r="C52" s="58" t="s">
        <v>4</v>
      </c>
      <c r="D52" s="59" t="s">
        <v>5</v>
      </c>
      <c r="E52" s="60"/>
      <c r="F52" s="60"/>
      <c r="G52" s="60"/>
      <c r="H52" s="60"/>
      <c r="I52" s="60"/>
      <c r="J52" s="60"/>
      <c r="K52" s="61"/>
    </row>
    <row r="53" spans="1:11" ht="15.75" customHeight="1" x14ac:dyDescent="0.25">
      <c r="A53" s="63"/>
      <c r="B53" s="15" t="s">
        <v>6</v>
      </c>
      <c r="C53" s="51"/>
      <c r="D53" s="59" t="s">
        <v>7</v>
      </c>
      <c r="E53" s="61"/>
      <c r="F53" s="59" t="s">
        <v>8</v>
      </c>
      <c r="G53" s="61"/>
      <c r="H53" s="59" t="s">
        <v>16</v>
      </c>
      <c r="I53" s="61"/>
      <c r="J53" s="59" t="s">
        <v>10</v>
      </c>
      <c r="K53" s="61"/>
    </row>
    <row r="54" spans="1:11" ht="25.9" customHeight="1" x14ac:dyDescent="0.25">
      <c r="A54" s="63"/>
      <c r="B54" s="35" t="str">
        <f>RUBRICA!A7</f>
        <v>3. Relaciona el Proyecto APT con sus intereses profesionales. *</v>
      </c>
      <c r="C54" s="33" t="s">
        <v>7</v>
      </c>
      <c r="D54" s="16"/>
      <c r="E54" s="16" t="str">
        <f>IF(D54="X",100*0.1,"")</f>
        <v/>
      </c>
      <c r="F54" s="16" t="s">
        <v>95</v>
      </c>
      <c r="G54" s="16">
        <f>IF(F54="X",60*0.1,"")</f>
        <v>6</v>
      </c>
      <c r="H54" s="16" t="str">
        <f t="shared" ref="H54:H55" si="39">IF($C54=ML,"X","")</f>
        <v/>
      </c>
      <c r="I54" s="16" t="str">
        <f>IF(H54="X",30*0.1,"")</f>
        <v/>
      </c>
      <c r="J54" s="16" t="str">
        <f t="shared" ref="J54:J55" si="40">IF($C54=NL,"X","")</f>
        <v/>
      </c>
      <c r="K54" s="16" t="str">
        <f t="shared" ref="K54:K55" si="41">IF($J54="X",0,"")</f>
        <v/>
      </c>
    </row>
    <row r="55" spans="1:11" ht="24" x14ac:dyDescent="0.25">
      <c r="A55" s="63"/>
      <c r="B55" s="35" t="str">
        <f>RUBRICA!A15</f>
        <v>11. Expone el tema utilizando un lenguaje técnico disciplinar al presentar la propuesta y responde evidenciando un manejo de la información. *</v>
      </c>
      <c r="C55" s="33" t="s">
        <v>7</v>
      </c>
      <c r="D55" s="16" t="str">
        <f t="shared" ref="D55" si="42">IF($C55=CL,"X","")</f>
        <v>X</v>
      </c>
      <c r="E55" s="16">
        <f>IF(D55="X",100*0.1,"")</f>
        <v>10</v>
      </c>
      <c r="F55" s="16" t="str">
        <f t="shared" ref="F55" si="43">IF($C55=L,"X","")</f>
        <v/>
      </c>
      <c r="G55" s="16" t="str">
        <f>IF(F55="X",60*0.1,"")</f>
        <v/>
      </c>
      <c r="H55" s="16" t="str">
        <f t="shared" si="39"/>
        <v/>
      </c>
      <c r="I55" s="16" t="str">
        <f>IF(H55="X",30*0.1,"")</f>
        <v/>
      </c>
      <c r="J55" s="16" t="str">
        <f t="shared" si="40"/>
        <v/>
      </c>
      <c r="K55" s="16" t="str">
        <f t="shared" si="41"/>
        <v/>
      </c>
    </row>
    <row r="56" spans="1:11" ht="15.75" customHeight="1" x14ac:dyDescent="0.25">
      <c r="A56" s="63"/>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3"/>
      <c r="B57" s="21" t="s">
        <v>17</v>
      </c>
      <c r="C57" s="18">
        <f>E57+G57+I57+K57</f>
        <v>26</v>
      </c>
      <c r="D57" s="19">
        <f>COUNTIF(D55:D56,"X")</f>
        <v>2</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1"/>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0" t="s">
        <v>18</v>
      </c>
      <c r="B2" s="73" t="s">
        <v>19</v>
      </c>
      <c r="C2" s="74"/>
      <c r="D2" s="74"/>
      <c r="E2" s="75"/>
      <c r="F2" s="70" t="s">
        <v>20</v>
      </c>
    </row>
    <row r="3" spans="1:6" x14ac:dyDescent="0.25">
      <c r="A3" s="71"/>
      <c r="B3" s="76" t="s">
        <v>21</v>
      </c>
      <c r="C3" s="76" t="s">
        <v>22</v>
      </c>
      <c r="D3" s="25" t="s">
        <v>23</v>
      </c>
      <c r="E3" s="27" t="s">
        <v>10</v>
      </c>
      <c r="F3" s="71"/>
    </row>
    <row r="4" spans="1:6" ht="57.6" customHeight="1" thickBot="1" x14ac:dyDescent="0.3">
      <c r="A4" s="72"/>
      <c r="B4" s="77"/>
      <c r="C4" s="77"/>
      <c r="D4" s="26">
        <v>-0.3</v>
      </c>
      <c r="E4" s="26">
        <v>0</v>
      </c>
      <c r="F4" s="72"/>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8" t="s">
        <v>92</v>
      </c>
      <c r="B1" s="7" t="s">
        <v>11</v>
      </c>
      <c r="C1" s="8"/>
      <c r="D1" s="8"/>
      <c r="E1" s="9"/>
    </row>
    <row r="2" spans="1:5" ht="45.75" thickBot="1" x14ac:dyDescent="0.3">
      <c r="A2" s="79"/>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2025-09-27T01:36:55Z</dcterms:modified>
  <cp:category/>
  <cp:contentStatus/>
</cp:coreProperties>
</file>